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ndidikan\FOLDER IAN\Mata Kuliah AI\"/>
    </mc:Choice>
  </mc:AlternateContent>
  <xr:revisionPtr revIDLastSave="0" documentId="13_ncr:1_{2DC1D4D4-DD69-4AC1-8DED-3E3FF8D844C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K Means Manual" sheetId="1" r:id="rId1"/>
    <sheet name="Silhouette Score" sheetId="2" r:id="rId2"/>
  </sheets>
  <calcPr calcId="191029"/>
  <extLst>
    <ext uri="GoogleSheetsCustomDataVersion2">
      <go:sheetsCustomData xmlns:go="http://customooxmlschemas.google.com/" r:id="rId5" roundtripDataChecksum="QXQpV7DK4Y0F3izcJ6zuBgLRwzDikiI276+1IiL+5cE="/>
    </ext>
  </extLst>
</workbook>
</file>

<file path=xl/calcChain.xml><?xml version="1.0" encoding="utf-8"?>
<calcChain xmlns="http://schemas.openxmlformats.org/spreadsheetml/2006/main">
  <c r="H10" i="2" l="1"/>
  <c r="G10" i="2"/>
  <c r="H9" i="2"/>
  <c r="G9" i="2"/>
  <c r="H8" i="2"/>
  <c r="G8" i="2"/>
  <c r="G7" i="2"/>
  <c r="H7" i="2"/>
  <c r="G6" i="2"/>
  <c r="H6" i="2"/>
  <c r="H5" i="2"/>
  <c r="G5" i="2"/>
  <c r="H4" i="2"/>
  <c r="G4" i="2"/>
  <c r="H3" i="2"/>
  <c r="G3" i="2"/>
  <c r="H11" i="2"/>
  <c r="G11" i="2"/>
  <c r="H2" i="2"/>
  <c r="G2" i="2"/>
  <c r="E3" i="2"/>
  <c r="D2" i="2"/>
  <c r="D6" i="2"/>
  <c r="D5" i="2"/>
  <c r="E11" i="2"/>
  <c r="D4" i="2"/>
  <c r="D8" i="2"/>
  <c r="F8" i="2" s="1"/>
  <c r="D7" i="2"/>
  <c r="D3" i="2"/>
  <c r="D11" i="2"/>
  <c r="E10" i="2"/>
  <c r="D10" i="2"/>
  <c r="E9" i="2"/>
  <c r="D9" i="2"/>
  <c r="F9" i="2" s="1"/>
  <c r="E8" i="2"/>
  <c r="E7" i="2"/>
  <c r="E6" i="2"/>
  <c r="E5" i="2"/>
  <c r="E4" i="2"/>
  <c r="E2" i="2"/>
  <c r="F11" i="1"/>
  <c r="F10" i="1"/>
  <c r="F9" i="1"/>
  <c r="F8" i="1"/>
  <c r="F6" i="1"/>
  <c r="F7" i="1"/>
  <c r="F5" i="1"/>
  <c r="F4" i="1"/>
  <c r="F3" i="1"/>
  <c r="F2" i="1"/>
  <c r="E11" i="1"/>
  <c r="E10" i="1"/>
  <c r="E9" i="1"/>
  <c r="E8" i="1"/>
  <c r="D11" i="1"/>
  <c r="D10" i="1"/>
  <c r="D9" i="1"/>
  <c r="D8" i="1"/>
  <c r="E3" i="1"/>
  <c r="E2" i="1"/>
  <c r="D3" i="1"/>
  <c r="D2" i="1"/>
  <c r="E7" i="1"/>
  <c r="D7" i="1"/>
  <c r="E6" i="1"/>
  <c r="D6" i="1"/>
  <c r="E5" i="1"/>
  <c r="D5" i="1"/>
  <c r="E4" i="1"/>
  <c r="D4" i="1"/>
  <c r="I10" i="2" l="1"/>
  <c r="I9" i="2"/>
  <c r="I8" i="2"/>
  <c r="I7" i="2"/>
  <c r="I6" i="2"/>
  <c r="I5" i="2"/>
  <c r="I4" i="2"/>
  <c r="I2" i="2"/>
  <c r="I3" i="2"/>
  <c r="I11" i="2"/>
  <c r="F5" i="2"/>
  <c r="F4" i="2"/>
  <c r="F3" i="2"/>
  <c r="F7" i="2"/>
  <c r="F6" i="2"/>
  <c r="F10" i="2"/>
  <c r="F2" i="2"/>
  <c r="F11" i="2"/>
</calcChain>
</file>

<file path=xl/sharedStrings.xml><?xml version="1.0" encoding="utf-8"?>
<sst xmlns="http://schemas.openxmlformats.org/spreadsheetml/2006/main" count="41" uniqueCount="23">
  <si>
    <t>Cluster</t>
  </si>
  <si>
    <t>Langkah 1: Tentukan Centroid Awal</t>
  </si>
  <si>
    <t>Misalnya kita pilih centroid awal sebagai:</t>
  </si>
  <si>
    <t>Nama</t>
  </si>
  <si>
    <t>Kunjungan (X)</t>
  </si>
  <si>
    <t>Pengeluaran (Y)</t>
  </si>
  <si>
    <t>Andi</t>
  </si>
  <si>
    <t>Budi</t>
  </si>
  <si>
    <t>Citra</t>
  </si>
  <si>
    <t>Dina</t>
  </si>
  <si>
    <t>Eka</t>
  </si>
  <si>
    <t>Farhan</t>
  </si>
  <si>
    <t>Gita</t>
  </si>
  <si>
    <t>Hadi</t>
  </si>
  <si>
    <t>Indra</t>
  </si>
  <si>
    <t>Joko</t>
  </si>
  <si>
    <t>Jarak Ke_C1</t>
  </si>
  <si>
    <t>Jarak Ke_C2</t>
  </si>
  <si>
    <t>Centroid 1 (C1): Hemat = (2,2)</t>
  </si>
  <si>
    <t>Centroid 2 (C2): C = (8,8)</t>
  </si>
  <si>
    <t>a(i)</t>
  </si>
  <si>
    <t>b(i)</t>
  </si>
  <si>
    <t>Silhouette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</si>
</sst>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sto MT"/>
      <family val="1"/>
    </font>
    <font>
      <sz val="12"/>
      <color theme="1"/>
      <name val="Calisto MT"/>
      <family val="1"/>
    </font>
    <font>
      <b/>
      <sz val="10"/>
      <name val="Calibri"/>
      <family val="2"/>
      <scheme val="maj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1" fillId="0" borderId="2" xfId="0" applyFont="1" applyFill="1" applyBorder="1" applyAlignment="1">
      <alignment horizontal="center" vertical="top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6</xdr:row>
      <xdr:rowOff>22860</xdr:rowOff>
    </xdr:from>
    <xdr:to>
      <xdr:col>14</xdr:col>
      <xdr:colOff>68580</xdr:colOff>
      <xdr:row>38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5F72A7-F13E-F123-64F1-9E0C7C5F5966}"/>
            </a:ext>
          </a:extLst>
        </xdr:cNvPr>
        <xdr:cNvSpPr txBox="1"/>
      </xdr:nvSpPr>
      <xdr:spPr>
        <a:xfrm>
          <a:off x="5974080" y="1074420"/>
          <a:ext cx="4419600" cy="5615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Langkah 1: Tentukan Centroid AwalMisalnya kita pilih centroid awal sebagai: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Centroid 1 (C1): Hemat = (2, 2)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Centroid 2 (C2): Sultan = (8, 8)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Langkah 2: Menghitung Euclidean DistanceRumus yang digunakan untuk menghitung jarak antara data dengan centroid</a:t>
          </a: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Langkah 3: Kelompokkan Data Berdasarkan Centroid TerdekatSetelah dihitung (seperti tabel sebelumnya), pengelompokannya adalah: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Cluster 1 (C1): Andi, Budi, Citra, Dina, Eka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Cluster 2 (C2): Farhan, Gita, Hadi, Indra, Joko</a:t>
          </a: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Langkah 4: Hitung Centroid Baru dari Setiap ClusterKita hitung rata-rata nilai X dan Y dari setiap kelompok untuk mencari pusat yang baru.</a:t>
          </a: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Langkah 5: Ulangi Perhitungan Jarak dengan Centroid Baru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Centroid baru sekarang adalah: C1 = (1.8, 2.2) dan C2 = (8.6, 8.0).</a:t>
          </a:r>
        </a:p>
        <a:p>
          <a:endParaRPr lang="en-ID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Hitung ulang semua jarak. Karena sebaran data kita sangat terpisah jauh, maka anggota cluster tidak akan berubah lagi (tetap sama).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Kesimpulan Akhir 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Hasil akhir pengelompokan (Iterasi 2):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Cluster 1 (Hemat): Andi, Budi, Citra, Dina, Eka</a:t>
          </a:r>
        </a:p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Cluster 2 (Sultan): Farhan, Gita, Hadi, Indra, Joko</a:t>
          </a:r>
        </a:p>
      </xdr:txBody>
    </xdr:sp>
    <xdr:clientData/>
  </xdr:twoCellAnchor>
  <xdr:twoCellAnchor editAs="oneCell">
    <xdr:from>
      <xdr:col>8</xdr:col>
      <xdr:colOff>304801</xdr:colOff>
      <xdr:row>12</xdr:row>
      <xdr:rowOff>58062</xdr:rowOff>
    </xdr:from>
    <xdr:to>
      <xdr:col>11</xdr:col>
      <xdr:colOff>281940</xdr:colOff>
      <xdr:row>14</xdr:row>
      <xdr:rowOff>38521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58C8CF-2437-3911-E8EE-F60EE6ED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6581" y="2161182"/>
          <a:ext cx="1828799" cy="330979"/>
        </a:xfrm>
        <a:prstGeom prst="rect">
          <a:avLst/>
        </a:prstGeom>
      </xdr:spPr>
    </xdr:pic>
    <xdr:clientData/>
  </xdr:twoCellAnchor>
  <xdr:twoCellAnchor editAs="oneCell">
    <xdr:from>
      <xdr:col>7</xdr:col>
      <xdr:colOff>472440</xdr:colOff>
      <xdr:row>22</xdr:row>
      <xdr:rowOff>30040</xdr:rowOff>
    </xdr:from>
    <xdr:to>
      <xdr:col>13</xdr:col>
      <xdr:colOff>54652</xdr:colOff>
      <xdr:row>29</xdr:row>
      <xdr:rowOff>7620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310A85-859A-218F-3111-2A6DE0BA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3885760"/>
          <a:ext cx="3285532" cy="120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6"/>
  <sheetViews>
    <sheetView workbookViewId="0">
      <selection activeCell="H5" sqref="H5:L6"/>
    </sheetView>
  </sheetViews>
  <sheetFormatPr defaultColWidth="14.44140625" defaultRowHeight="15" customHeight="1" x14ac:dyDescent="0.3"/>
  <cols>
    <col min="1" max="1" width="6.109375" customWidth="1"/>
    <col min="2" max="2" width="13.21875" bestFit="1" customWidth="1"/>
    <col min="3" max="3" width="14.44140625" bestFit="1" customWidth="1"/>
    <col min="4" max="5" width="17.88671875" customWidth="1"/>
    <col min="6" max="26" width="9" customWidth="1"/>
  </cols>
  <sheetData>
    <row r="1" spans="1:12" ht="14.25" customHeight="1" x14ac:dyDescent="0.35">
      <c r="A1" s="1" t="s">
        <v>3</v>
      </c>
      <c r="B1" s="1" t="s">
        <v>4</v>
      </c>
      <c r="C1" s="1" t="s">
        <v>5</v>
      </c>
      <c r="D1" s="1" t="s">
        <v>16</v>
      </c>
      <c r="E1" s="1" t="s">
        <v>17</v>
      </c>
      <c r="F1" s="8" t="s">
        <v>0</v>
      </c>
      <c r="H1" s="2" t="s">
        <v>1</v>
      </c>
    </row>
    <row r="2" spans="1:12" ht="14.25" customHeight="1" x14ac:dyDescent="0.3">
      <c r="A2" s="3" t="s">
        <v>6</v>
      </c>
      <c r="B2" s="3">
        <v>1</v>
      </c>
      <c r="C2" s="3">
        <v>1</v>
      </c>
      <c r="D2" s="4">
        <f>SQRT((B2-$K$5)^2+(C2-$L$5)^2)</f>
        <v>1.4142135623730951</v>
      </c>
      <c r="E2" s="4">
        <f>SQRT((B2-$K$6)^2+((C2-$L$6)^2))</f>
        <v>9.8994949366116654</v>
      </c>
      <c r="F2" s="9" t="str">
        <f t="shared" ref="F2:F10" si="0">IF(D2&lt;E2,"Hemat","Sultan")</f>
        <v>Hemat</v>
      </c>
    </row>
    <row r="3" spans="1:12" ht="14.25" customHeight="1" x14ac:dyDescent="0.3">
      <c r="A3" s="3" t="s">
        <v>7</v>
      </c>
      <c r="B3" s="3">
        <v>2</v>
      </c>
      <c r="C3" s="3">
        <v>1</v>
      </c>
      <c r="D3" s="4">
        <f>SQRT((B3-$K$5)^2+(C3-$L$5)^2)</f>
        <v>1</v>
      </c>
      <c r="E3" s="4">
        <f>SQRT((B3-$K$6)^2+((C3-$L$6)^2))</f>
        <v>9.2195444572928871</v>
      </c>
      <c r="F3" s="9" t="str">
        <f t="shared" si="0"/>
        <v>Hemat</v>
      </c>
      <c r="H3" s="3" t="s">
        <v>2</v>
      </c>
    </row>
    <row r="4" spans="1:12" ht="14.25" customHeight="1" x14ac:dyDescent="0.3">
      <c r="A4" s="3" t="s">
        <v>8</v>
      </c>
      <c r="B4" s="3">
        <v>1</v>
      </c>
      <c r="C4" s="3">
        <v>3</v>
      </c>
      <c r="D4" s="4">
        <f t="shared" ref="D4:D11" si="1">SQRT((B4-$K$5)^2+(C4-$L$5)^2)</f>
        <v>1.4142135623730951</v>
      </c>
      <c r="E4" s="4">
        <f t="shared" ref="E4:E11" si="2">SQRT((B4-$K$6)^2+((C4-$L$6)^2))</f>
        <v>8.6023252670426267</v>
      </c>
      <c r="F4" s="9" t="str">
        <f t="shared" si="0"/>
        <v>Hemat</v>
      </c>
    </row>
    <row r="5" spans="1:12" ht="14.25" customHeight="1" x14ac:dyDescent="0.3">
      <c r="A5" s="3" t="s">
        <v>9</v>
      </c>
      <c r="B5" s="3">
        <v>3</v>
      </c>
      <c r="C5" s="3">
        <v>2</v>
      </c>
      <c r="D5" s="4">
        <f t="shared" si="1"/>
        <v>1</v>
      </c>
      <c r="E5" s="4">
        <f t="shared" si="2"/>
        <v>7.810249675906654</v>
      </c>
      <c r="F5" s="9" t="str">
        <f t="shared" si="0"/>
        <v>Hemat</v>
      </c>
      <c r="H5" s="5" t="s">
        <v>18</v>
      </c>
      <c r="K5" s="3">
        <v>2</v>
      </c>
      <c r="L5" s="3">
        <v>2</v>
      </c>
    </row>
    <row r="6" spans="1:12" ht="14.25" customHeight="1" x14ac:dyDescent="0.3">
      <c r="A6" s="3" t="s">
        <v>10</v>
      </c>
      <c r="B6" s="3">
        <v>2</v>
      </c>
      <c r="C6" s="3">
        <v>4</v>
      </c>
      <c r="D6" s="4">
        <f t="shared" si="1"/>
        <v>2</v>
      </c>
      <c r="E6" s="4">
        <f t="shared" si="2"/>
        <v>7.2111025509279782</v>
      </c>
      <c r="F6" s="9" t="str">
        <f t="shared" si="0"/>
        <v>Hemat</v>
      </c>
      <c r="H6" s="5" t="s">
        <v>19</v>
      </c>
      <c r="K6" s="3">
        <v>8</v>
      </c>
      <c r="L6" s="3">
        <v>8</v>
      </c>
    </row>
    <row r="7" spans="1:12" ht="14.25" customHeight="1" x14ac:dyDescent="0.3">
      <c r="A7" s="3" t="s">
        <v>11</v>
      </c>
      <c r="B7" s="3">
        <v>9</v>
      </c>
      <c r="C7" s="3">
        <v>8</v>
      </c>
      <c r="D7" s="4">
        <f t="shared" si="1"/>
        <v>9.2195444572928871</v>
      </c>
      <c r="E7" s="4">
        <f t="shared" si="2"/>
        <v>1</v>
      </c>
      <c r="F7" s="9" t="str">
        <f t="shared" si="0"/>
        <v>Sultan</v>
      </c>
    </row>
    <row r="8" spans="1:12" ht="14.25" customHeight="1" x14ac:dyDescent="0.3">
      <c r="A8" t="s">
        <v>12</v>
      </c>
      <c r="B8">
        <v>8</v>
      </c>
      <c r="C8">
        <v>9</v>
      </c>
      <c r="D8" s="4">
        <f t="shared" si="1"/>
        <v>9.2195444572928871</v>
      </c>
      <c r="E8" s="4">
        <f t="shared" si="2"/>
        <v>1</v>
      </c>
      <c r="F8" s="9" t="str">
        <f t="shared" si="0"/>
        <v>Sultan</v>
      </c>
      <c r="H8" s="6"/>
      <c r="I8" s="6"/>
      <c r="J8" s="6"/>
      <c r="K8" s="6"/>
    </row>
    <row r="9" spans="1:12" ht="14.25" customHeight="1" x14ac:dyDescent="0.3">
      <c r="A9" t="s">
        <v>13</v>
      </c>
      <c r="B9">
        <v>7</v>
      </c>
      <c r="C9">
        <v>7</v>
      </c>
      <c r="D9" s="4">
        <f t="shared" si="1"/>
        <v>7.0710678118654755</v>
      </c>
      <c r="E9" s="4">
        <f t="shared" si="2"/>
        <v>1.4142135623730951</v>
      </c>
      <c r="F9" s="9" t="str">
        <f t="shared" si="0"/>
        <v>Sultan</v>
      </c>
      <c r="H9" s="7"/>
      <c r="I9" s="7"/>
      <c r="J9" s="7"/>
      <c r="K9" s="7"/>
    </row>
    <row r="10" spans="1:12" ht="14.25" customHeight="1" x14ac:dyDescent="0.35">
      <c r="A10" t="s">
        <v>14</v>
      </c>
      <c r="B10">
        <v>9</v>
      </c>
      <c r="C10">
        <v>7</v>
      </c>
      <c r="D10" s="4">
        <f t="shared" si="1"/>
        <v>8.6023252670426267</v>
      </c>
      <c r="E10" s="4">
        <f t="shared" si="2"/>
        <v>1.4142135623730951</v>
      </c>
      <c r="F10" s="9" t="str">
        <f t="shared" si="0"/>
        <v>Sultan</v>
      </c>
      <c r="H10" s="2"/>
      <c r="I10" s="7"/>
      <c r="J10" s="7"/>
      <c r="K10" s="7"/>
    </row>
    <row r="11" spans="1:12" ht="14.25" customHeight="1" x14ac:dyDescent="0.3">
      <c r="A11" t="s">
        <v>15</v>
      </c>
      <c r="B11">
        <v>10</v>
      </c>
      <c r="C11">
        <v>9</v>
      </c>
      <c r="D11" s="4">
        <f t="shared" si="1"/>
        <v>10.63014581273465</v>
      </c>
      <c r="E11" s="4">
        <f t="shared" si="2"/>
        <v>2.2360679774997898</v>
      </c>
      <c r="F11" s="9" t="str">
        <f>IF(D2&lt;E2,"Hemat","Sultan")</f>
        <v>Hemat</v>
      </c>
      <c r="H11" s="7"/>
      <c r="I11" s="7"/>
      <c r="J11" s="7"/>
      <c r="K11" s="7"/>
    </row>
    <row r="12" spans="1:12" ht="14.25" customHeight="1" x14ac:dyDescent="0.3">
      <c r="H12" s="7"/>
      <c r="I12" s="7"/>
      <c r="J12" s="7"/>
      <c r="K12" s="7"/>
    </row>
    <row r="13" spans="1:12" ht="14.25" customHeight="1" x14ac:dyDescent="0.3">
      <c r="H13" s="7"/>
      <c r="I13" s="7"/>
      <c r="J13" s="7"/>
      <c r="K13" s="7"/>
    </row>
    <row r="14" spans="1:12" ht="14.25" customHeight="1" x14ac:dyDescent="0.3">
      <c r="H14" s="7"/>
      <c r="I14" s="7"/>
      <c r="J14" s="7"/>
      <c r="K14" s="7"/>
    </row>
    <row r="15" spans="1:12" ht="14.25" customHeight="1" x14ac:dyDescent="0.3"/>
    <row r="16" spans="1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48576" spans="6:6" ht="15" customHeight="1" x14ac:dyDescent="0.3">
      <c r="F1048576" s="9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0950-F5E0-4E7A-8FAB-DE67CA12737D}">
  <dimension ref="A1:M11"/>
  <sheetViews>
    <sheetView tabSelected="1" workbookViewId="0">
      <selection activeCell="I11" sqref="I11"/>
    </sheetView>
  </sheetViews>
  <sheetFormatPr defaultRowHeight="14.4" x14ac:dyDescent="0.3"/>
  <cols>
    <col min="2" max="2" width="13.21875" bestFit="1" customWidth="1"/>
    <col min="3" max="3" width="14.44140625" bestFit="1" customWidth="1"/>
    <col min="4" max="5" width="11" bestFit="1" customWidth="1"/>
    <col min="6" max="6" width="8.44140625" bestFit="1" customWidth="1"/>
    <col min="9" max="9" width="14.77734375" bestFit="1" customWidth="1"/>
    <col min="10" max="11" width="26.33203125" bestFit="1" customWidth="1"/>
  </cols>
  <sheetData>
    <row r="1" spans="1:13" ht="15" x14ac:dyDescent="0.3">
      <c r="A1" s="1" t="s">
        <v>3</v>
      </c>
      <c r="B1" s="1" t="s">
        <v>4</v>
      </c>
      <c r="C1" s="1" t="s">
        <v>5</v>
      </c>
      <c r="D1" s="1" t="s">
        <v>16</v>
      </c>
      <c r="E1" s="1" t="s">
        <v>17</v>
      </c>
      <c r="F1" s="8" t="s">
        <v>0</v>
      </c>
      <c r="G1" s="10" t="s">
        <v>20</v>
      </c>
      <c r="H1" s="10" t="s">
        <v>21</v>
      </c>
      <c r="I1" s="10" t="s">
        <v>22</v>
      </c>
    </row>
    <row r="2" spans="1:13" ht="15.6" x14ac:dyDescent="0.3">
      <c r="A2" s="3" t="s">
        <v>6</v>
      </c>
      <c r="B2" s="3">
        <v>1</v>
      </c>
      <c r="C2" s="3">
        <v>1</v>
      </c>
      <c r="D2" s="4">
        <f>SQRT((B2-$L$5)^2+(C2-$M$5)^2)</f>
        <v>1.4142135623730951</v>
      </c>
      <c r="E2" s="4">
        <f>SQRT((B2-$L$6)^2+((C2-$M$6)^2))</f>
        <v>9.8994949366116654</v>
      </c>
      <c r="F2" s="9" t="str">
        <f t="shared" ref="F2:F10" si="0">IF(D2&lt;E2,"Hemat","Sultan")</f>
        <v>Hemat</v>
      </c>
      <c r="G2" s="11">
        <f>AVERAGE(SQRT(($B$2-$B$3)^2+($C$2-$C$3)^2), SQRT(($B$2-$B$4)^2+($C$2-$C$4)^2), SQRT(($B$2-$B$5)^2+($C$2-$C$5)^2), SQRT(($B$2-$B$6)^2+($C$2-$C$6)^2))</f>
        <v>2.0995864094170424</v>
      </c>
      <c r="H2" s="5">
        <f>AVERAGE(SQRT(($B$2-$B$7)^2+($C$2-$C$7)^2), SQRT(($B$2-$B$8)^2+($C$2-$C$8)^2), SQRT(($B$2-$B$9)^2+($C$2-$C$9)^2), SQRT(($B$2-$B$10)^2+($C$2-$C$10)^2), SQRT(($B$2-$B$11)^2+($C$2-$C$11)^2))</f>
        <v>10.357433515700032</v>
      </c>
      <c r="I2" s="12">
        <f>(H2-G2)/MAX(G2,H2)</f>
        <v>0.79728700104765893</v>
      </c>
      <c r="K2" s="3"/>
      <c r="L2" s="3"/>
    </row>
    <row r="3" spans="1:13" ht="15.6" x14ac:dyDescent="0.3">
      <c r="A3" s="3" t="s">
        <v>7</v>
      </c>
      <c r="B3" s="3">
        <v>2</v>
      </c>
      <c r="C3" s="3">
        <v>1</v>
      </c>
      <c r="D3" s="4">
        <f>SQRT((B3-$L$5)^2+(C3-$M$5)^2)</f>
        <v>1</v>
      </c>
      <c r="E3" s="4">
        <f>SQRT((B3-$L$6)^2+((C3-$M$6)^2))</f>
        <v>9.2195444572928871</v>
      </c>
      <c r="F3" s="9" t="str">
        <f t="shared" si="0"/>
        <v>Hemat</v>
      </c>
      <c r="G3" s="11">
        <f>AVERAGE(SQRT(($B$3-$B$2)^2+($C$3-$C$2)^2), SQRT(($B$3-$B$4)^2+($C$3-$C$4)^2), SQRT(($B$3-$B$5)^2+($C$3-$C$5)^2), SQRT(($B$3-$B$6)^2+($C$3-$C$6)^2))</f>
        <v>1.9125703849682212</v>
      </c>
      <c r="H3" s="5">
        <f>AVERAGE(SQRT(($B$3-$B$7)^2+($C$3-$C$7)^2), SQRT(($B$3-$B$8)^2+($C$3-$C$8)^2), SQRT(($B$3-$B$9)^2+($C$3-$C$9)^2), SQRT(($B$3-$B$10)^2+($C$3-$C$10)^2), SQRT(($B$3-$B$11)^2+($C$3-$C$11)^2))</f>
        <v>9.6485995137591924</v>
      </c>
      <c r="I3" s="12">
        <f>(H3-G3)/MAX(G3,H3)</f>
        <v>0.80177741005408731</v>
      </c>
      <c r="K3" s="3"/>
      <c r="L3" s="3"/>
    </row>
    <row r="4" spans="1:13" ht="15.6" x14ac:dyDescent="0.3">
      <c r="A4" s="3" t="s">
        <v>8</v>
      </c>
      <c r="B4" s="3">
        <v>1</v>
      </c>
      <c r="C4" s="3">
        <v>3</v>
      </c>
      <c r="D4" s="4">
        <f>SQRT((B4-$L$5)^2+(C4-$M$5)^2)</f>
        <v>1.4142135623730951</v>
      </c>
      <c r="E4" s="4">
        <f>SQRT((B4-$L$6)^2+((C4-$M$6)^2))</f>
        <v>8.6023252670426267</v>
      </c>
      <c r="F4" s="9" t="str">
        <f t="shared" si="0"/>
        <v>Hemat</v>
      </c>
      <c r="G4" s="11">
        <f>AVERAGE(SQRT(($B$4-$B$2)^2+($C$4-$C$2)^2), SQRT(($B$4-$B$3)^2+($C$4-$C$3)^2), SQRT(($B$4-$B$5)^2+($C$4-$C$5)^2), SQRT(($B$4-$B$6)^2+($C$4-$C$6)^2))</f>
        <v>1.9715873793431686</v>
      </c>
      <c r="H4" s="5">
        <f>AVERAGE(SQRT(($B$4-$B$7)^2+($C$4-$C$7)^2), SQRT(($B$4-$B$8)^2+($C$4-$C$8)^2), SQRT(($B$4-$B$9)^2+($C$4-$C$9)^2), SQRT(($B$4-$B$10)^2+($C$4-$C$10)^2), SQRT(($B$4-$B$11)^2+($C$4-$C$11)^2))</f>
        <v>9.1251107753337202</v>
      </c>
      <c r="I4" s="12">
        <f>(H4-G4)/MAX(G4,H4)</f>
        <v>0.78393825259934291</v>
      </c>
    </row>
    <row r="5" spans="1:13" ht="15.6" x14ac:dyDescent="0.3">
      <c r="A5" s="3" t="s">
        <v>9</v>
      </c>
      <c r="B5" s="3">
        <v>3</v>
      </c>
      <c r="C5" s="3">
        <v>2</v>
      </c>
      <c r="D5" s="4">
        <f>SQRT((B5-$L$5)^2+(C5-$M$5)^2)</f>
        <v>1</v>
      </c>
      <c r="E5" s="4">
        <f>SQRT((B5-$L$6)^2+((C5-$M$6)^2))</f>
        <v>7.810249675906654</v>
      </c>
      <c r="F5" s="9" t="str">
        <f t="shared" si="0"/>
        <v>Hemat</v>
      </c>
      <c r="G5" s="11">
        <f>AVERAGE(SQRT(($B$5-$B$2)^2+($C$5-$C$2)^2), SQRT(($B$5-$B$3)^2+($C$5-$C$3)^2), SQRT(($B$5-$B$4)^2+($C$5-$C$4)^2), SQRT(($B$5-$B$6)^2+($C$5-$C$6)^2))</f>
        <v>2.0306043737181163</v>
      </c>
      <c r="H5" s="5">
        <f>AVERAGE(SQRT(($B$5-$B$7)^2+($C$5-$C$7)^2), SQRT(($B$5-$B$8)^2+($C$5-$C$8)^2), SQRT(($B$5-$B$9)^2+($C$5-$C$9)^2), SQRT(($B$5-$B$10)^2+($C$5-$C$10)^2), SQRT(($B$5-$B$11)^2+($C$5-$C$11)^2))</f>
        <v>8.2400950982464742</v>
      </c>
      <c r="I5" s="12">
        <f>(H5-G5)/MAX(G5,H5)</f>
        <v>0.75357027443163405</v>
      </c>
      <c r="K5" s="5" t="s">
        <v>18</v>
      </c>
      <c r="L5" s="3">
        <v>2</v>
      </c>
      <c r="M5" s="3">
        <v>2</v>
      </c>
    </row>
    <row r="6" spans="1:13" ht="15.6" x14ac:dyDescent="0.3">
      <c r="A6" s="3" t="s">
        <v>10</v>
      </c>
      <c r="B6" s="3">
        <v>2</v>
      </c>
      <c r="C6" s="3">
        <v>4</v>
      </c>
      <c r="D6" s="4">
        <f>SQRT((B6-$L$5)^2+(C6-$M$5)^2)</f>
        <v>2</v>
      </c>
      <c r="E6" s="4">
        <f>SQRT((B6-$L$6)^2+((C6-$M$6)^2))</f>
        <v>7.2111025509279782</v>
      </c>
      <c r="F6" s="9" t="str">
        <f t="shared" si="0"/>
        <v>Hemat</v>
      </c>
      <c r="G6" s="11">
        <f>AVERAGE(SQRT(($B$6-$B$2)^2+($C$6-$C$2)^2), SQRT(($B$6-$B$3)^2+($C$6-$C$3)^2), SQRT(($B$6-$B$4)^2+($C$6-$C$4)^2), SQRT(($B$6-$B$5)^2+($C$6-$C$5)^2))</f>
        <v>2.453139800010316</v>
      </c>
      <c r="H6" s="5">
        <f>AVERAGE(SQRT(($B$6-$B$7)^2+($C$6-$C$7)^2), SQRT(($B$6-$B$8)^2+($C$6-$C$8)^2), SQRT(($B$6-$B$9)^2+($C$6-$C$9)^2), SQRT(($B$6-$B$10)^2+($C$6-$C$10)^2), SQRT(($B$6-$B$11)^2+($C$6-$C$11)^2))</f>
        <v>7.7506427113942022</v>
      </c>
      <c r="I6" s="12">
        <f>(H6-G6)/MAX(G6,H6)</f>
        <v>0.68349208041754261</v>
      </c>
      <c r="K6" s="5" t="s">
        <v>19</v>
      </c>
      <c r="L6" s="3">
        <v>8</v>
      </c>
      <c r="M6" s="3">
        <v>8</v>
      </c>
    </row>
    <row r="7" spans="1:13" ht="15.6" x14ac:dyDescent="0.3">
      <c r="A7" s="3" t="s">
        <v>11</v>
      </c>
      <c r="B7" s="3">
        <v>9</v>
      </c>
      <c r="C7" s="3">
        <v>8</v>
      </c>
      <c r="D7" s="4">
        <f>SQRT((B7-$L$5)^2+(C7-$M$5)^2)</f>
        <v>9.2195444572928871</v>
      </c>
      <c r="E7" s="4">
        <f>SQRT((B7-$L$6)^2+((C7-$M$6)^2))</f>
        <v>1</v>
      </c>
      <c r="F7" s="9" t="str">
        <f t="shared" si="0"/>
        <v>Sultan</v>
      </c>
      <c r="G7" s="11">
        <f>AVERAGE(SQRT(($B$7-$B$8)^2+($C$7-$C$8)^2), SQRT(($B$7-$B$9)^2+($C$7-$C$9)^2), SQRT(($B$7-$B$10)^2+($C$7-$C$10)^2), SQRT(($B$7-$B$11)^2+($C$7-$C$11)^2))</f>
        <v>1.5161237755614949</v>
      </c>
      <c r="H7" s="5">
        <f>AVERAGE(SQRT(($B$7-$B$2)^2+($C$7-$C$2)^2), SQRT(($B$7-$B$3)^2+($C$7-$C$3)^2), SQRT(($B$7-$B$4)^2+($C$7-$C$4)^2), SQRT(($B$7-$B$5)^2+($C$7-$C$5)^2), SQRT(($B$7-$B$6)^2+($C$7-$C$6)^2))</f>
        <v>9.3022322007880067</v>
      </c>
      <c r="I7" s="12">
        <f>(H7-G7)/MAX(G7,H7)</f>
        <v>0.83701505801660581</v>
      </c>
    </row>
    <row r="8" spans="1:13" ht="15.6" x14ac:dyDescent="0.3">
      <c r="A8" t="s">
        <v>12</v>
      </c>
      <c r="B8">
        <v>8</v>
      </c>
      <c r="C8">
        <v>9</v>
      </c>
      <c r="D8" s="4">
        <f>SQRT((B8-$L$5)^2+(C8-$M$5)^2)</f>
        <v>9.2195444572928871</v>
      </c>
      <c r="E8" s="4">
        <f>SQRT((B8-$L$6)^2+((C8-$M$6)^2))</f>
        <v>1</v>
      </c>
      <c r="F8" s="9" t="str">
        <f t="shared" si="0"/>
        <v>Sultan</v>
      </c>
      <c r="G8" s="11">
        <f>AVERAGE(SQRT(($B$8-$B$7)^2+($C$8-$C$7)^2), SQRT(($B$8-$B$9)^2+($C$8-$C$9)^2), SQRT(($B$8-$B$10)^2+($C$8-$C$10)^2), SQRT(($B$8-$B$11)^2+($C$8-$C$11)^2))</f>
        <v>1.9715873793431686</v>
      </c>
      <c r="H8" s="5">
        <f>AVERAGE(SQRT(($B$8-$B$2)^2+($C$8-$C$2)^2), SQRT(($B$8-$B$3)^2+($C$8-$C$3)^2), SQRT(($B$8-$B$4)^2+($C$8-$C$4)^2), SQRT(($B$8-$B$5)^2+($C$8-$C$5)^2), SQRT(($B$8-$B$6)^2+($C$8-$C$6)^2))</f>
        <v>9.2524530425953646</v>
      </c>
      <c r="I8" s="12">
        <f>(H8-G8)/MAX(G8,H8)</f>
        <v>0.78691192808365473</v>
      </c>
    </row>
    <row r="9" spans="1:13" ht="15.6" x14ac:dyDescent="0.3">
      <c r="A9" t="s">
        <v>13</v>
      </c>
      <c r="B9">
        <v>7</v>
      </c>
      <c r="C9">
        <v>7</v>
      </c>
      <c r="D9" s="4">
        <f>SQRT((B9-$L$5)^2+(C9-$M$5)^2)</f>
        <v>7.0710678118654755</v>
      </c>
      <c r="E9" s="4">
        <f>SQRT((B9-$L$6)^2+((C9-$M$6)^2))</f>
        <v>1.4142135623730951</v>
      </c>
      <c r="F9" s="9" t="str">
        <f t="shared" si="0"/>
        <v>Sultan</v>
      </c>
      <c r="G9" s="11">
        <f>AVERAGE(SQRT(($B$9-$B$7)^2+($C$9-$C$7)^2), SQRT(($B$9-$B$8)^2+($C$9-$C$8)^2), SQRT(($B$9-$B$10)^2+($C$9-$C$10)^2), SQRT(($B$9-$B$11)^2+($C$9-$C$11)^2))</f>
        <v>2.5194218076158923</v>
      </c>
      <c r="H9" s="5">
        <f>AVERAGE(SQRT(($B$9-$B$2)^2+($C$9-$C$2)^2), SQRT(($B$9-$B$3)^2+($C$9-$C$3)^2), SQRT(($B$9-$B$4)^2+($C$9-$C$4)^2), SQRT(($B$9-$B$5)^2+($C$9-$C$5)^2), SQRT(($B$9-$B$6)^2+($C$9-$C$6)^2))</f>
        <v>7.14814194667027</v>
      </c>
      <c r="I9" s="12">
        <f>(H9-G9)/MAX(G9,H9)</f>
        <v>0.64754172113363206</v>
      </c>
    </row>
    <row r="10" spans="1:13" ht="15.6" x14ac:dyDescent="0.3">
      <c r="A10" t="s">
        <v>14</v>
      </c>
      <c r="B10">
        <v>9</v>
      </c>
      <c r="C10">
        <v>7</v>
      </c>
      <c r="D10" s="4">
        <f>SQRT((B10-$L$5)^2+(C10-$M$5)^2)</f>
        <v>8.6023252670426267</v>
      </c>
      <c r="E10" s="4">
        <f>SQRT((B10-$L$6)^2+((C10-$M$6)^2))</f>
        <v>1.4142135623730951</v>
      </c>
      <c r="F10" s="9" t="str">
        <f t="shared" si="0"/>
        <v>Sultan</v>
      </c>
      <c r="G10" s="11">
        <f>AVERAGE(SQRT(($B$10-$B$7)^2+($C$10-$C$7)^2), SQRT(($B$10-$B$8)^2+($C$10-$C$8)^2), SQRT(($B$10-$B$9)^2+($C$10-$C$9)^2), SQRT(($B$10-$B$11)^2+($C$10-$C$11)^2))</f>
        <v>1.8680339887498949</v>
      </c>
      <c r="H10" s="5">
        <f>AVERAGE(SQRT(($B$10-$B$2)^2+($C$10-$C$2)^2), SQRT(($B$10-$B$3)^2+($C$10-$C$3)^2), SQRT(($B$10-$B$4)^2+($C$10-$C$4)^2), SQRT(($B$10-$B$5)^2+($C$10-$C$5)^2), SQRT(($B$10-$B$6)^2+($C$10-$C$6)^2))</f>
        <v>8.7179678298125225</v>
      </c>
      <c r="I10" s="12">
        <f>(H10-G10)/MAX(G10,H10)</f>
        <v>0.78572598279591654</v>
      </c>
    </row>
    <row r="11" spans="1:13" ht="15.6" x14ac:dyDescent="0.3">
      <c r="A11" t="s">
        <v>15</v>
      </c>
      <c r="B11">
        <v>10</v>
      </c>
      <c r="C11">
        <v>9</v>
      </c>
      <c r="D11" s="4">
        <f>SQRT((B11-$L$5)^2+(C11-$M$5)^2)</f>
        <v>10.63014581273465</v>
      </c>
      <c r="E11" s="4">
        <f>SQRT((B11-$L$6)^2+((C11-$M$6)^2))</f>
        <v>2.2360679774997898</v>
      </c>
      <c r="F11" s="9" t="str">
        <f>IF(D2&lt;E2,"Hemat","Sultan")</f>
        <v>Hemat</v>
      </c>
      <c r="G11" s="11">
        <f>AVERAGE(SQRT(($B$11-$B$2)^2+($C$11-$C$2)^2), SQRT(($B$11-$B$3)^2+($C$11-$C$3)^2), SQRT(($B$11-$B$4)^2+($C$11-$C$4)^2), SQRT(($B$11-$B$5)^2+($C$11-$C$5)^2), SQRT(($B$11-$B$6)^2+($C$11-$C$6)^2))</f>
        <v>10.70108659456746</v>
      </c>
      <c r="H11" s="5">
        <f>AVERAGE(SQRT(($B$11-$B$7)^2+($C$11-$C$7)^2), SQRT(($B$11-$B$8)^2+($C$11-$C$8)^2), SQRT(($B$11-$B$9)^2+($C$11-$C$9)^2), SQRT(($B$11-$B$10)^2+($C$11-$C$10)^2))</f>
        <v>2.3139582038342184</v>
      </c>
      <c r="I11" s="12">
        <f>(H11-G11)/MAX(G11,H11)</f>
        <v>-0.78376418288130401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 Means Manual</vt:lpstr>
      <vt:lpstr>Silhouette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ryyan id</cp:lastModifiedBy>
  <dcterms:created xsi:type="dcterms:W3CDTF">2025-05-06T06:44:00Z</dcterms:created>
  <dcterms:modified xsi:type="dcterms:W3CDTF">2026-04-28T05:51:20Z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A1F2A40E58984BC38C9F998AF9C8D650_12</vt:lpwstr>
  </property>
  <property fmtid="{D5CDD505-2E9C-101B-9397-08002B2CF9AE}" pid="3" name="KSOProductBuildVer">
    <vt:lpwstr>1033-12.2.0.20795</vt:lpwstr>
  </property>
</Properties>
</file>